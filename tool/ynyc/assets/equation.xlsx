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cfdtools\tool\ynyc_prism\assets\"/>
    </mc:Choice>
  </mc:AlternateContent>
  <xr:revisionPtr revIDLastSave="0" documentId="13_ncr:1_{D1C63D6F-BD0F-4706-A656-8B0F3CBFC9A0}" xr6:coauthVersionLast="47" xr6:coauthVersionMax="47" xr10:uidLastSave="{00000000-0000-0000-0000-000000000000}"/>
  <bookViews>
    <workbookView xWindow="-98" yWindow="-98" windowWidth="28996" windowHeight="15675" activeTab="3" xr2:uid="{C62BD3FA-92D6-4485-B482-CE1678DC2BED}"/>
  </bookViews>
  <sheets>
    <sheet name="Eq" sheetId="1" r:id="rId1"/>
    <sheet name="YnYc" sheetId="2" r:id="rId2"/>
    <sheet name="UHv1" sheetId="3" r:id="rId3"/>
    <sheet name="UHv2" sheetId="4" r:id="rId4"/>
  </sheets>
  <definedNames>
    <definedName name="alpha">YnYc!$C$9</definedName>
    <definedName name="area">YnYc!$C$14</definedName>
    <definedName name="b">YnYc!$C$4</definedName>
    <definedName name="c_">YnYc!$C$12</definedName>
    <definedName name="g">YnYc!$C$3</definedName>
    <definedName name="hydraulic_depth">YnYc!$C$18</definedName>
    <definedName name="hydraulic_ratio">YnYc!$C$16</definedName>
    <definedName name="hydrograph_slope_left" localSheetId="3">'UHv2'!$C$10</definedName>
    <definedName name="hydrograph_slope_left">'UHv1'!$C$10</definedName>
    <definedName name="hydrograph_slope_right" localSheetId="3">'UHv2'!$C$11</definedName>
    <definedName name="hydrograph_slope_right">'UHv1'!$C$11</definedName>
    <definedName name="n">YnYc!$C$8</definedName>
    <definedName name="q">YnYc!$C$2</definedName>
    <definedName name="rho">YnYc!$C$10</definedName>
    <definedName name="so">YnYc!$C$7</definedName>
    <definedName name="Steps" localSheetId="3">'UHv2'!$C$9</definedName>
    <definedName name="Steps">'UHv1'!$C$9</definedName>
    <definedName name="steps_left">'UHv2'!$E$9</definedName>
    <definedName name="steps_right">'UHv2'!$F$9</definedName>
    <definedName name="Tb" localSheetId="3">'UHv2'!$C$5</definedName>
    <definedName name="Tb">'UHv1'!$C$5</definedName>
    <definedName name="time_increment_left">'UHv2'!$E$10</definedName>
    <definedName name="time_increment_right">'UHv2'!$F$10</definedName>
    <definedName name="top_width">YnYc!$C$17</definedName>
    <definedName name="Tp" localSheetId="3">'UHv2'!$C$8</definedName>
    <definedName name="Tp">'UHv1'!$C$8</definedName>
    <definedName name="Tpp" localSheetId="3">'UHv2'!$C$7</definedName>
    <definedName name="Tpp">'UHv1'!$C$7</definedName>
    <definedName name="Ts" localSheetId="3">'UHv2'!$C$6</definedName>
    <definedName name="Ts">'UHv1'!$C$6</definedName>
    <definedName name="wet_perimeter">YnYc!$C$15</definedName>
    <definedName name="y">YnYc!$C$11</definedName>
    <definedName name="z1_">YnYc!$C$5</definedName>
    <definedName name="z2_">YnYc!$C$6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" l="1"/>
  <c r="C8" i="4"/>
  <c r="C11" i="4" s="1"/>
  <c r="E7" i="4"/>
  <c r="E6" i="4"/>
  <c r="C4" i="4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14" i="3"/>
  <c r="B13" i="3"/>
  <c r="C9" i="3"/>
  <c r="C4" i="3"/>
  <c r="C25" i="2"/>
  <c r="C24" i="2"/>
  <c r="C23" i="2"/>
  <c r="C15" i="2"/>
  <c r="C17" i="2"/>
  <c r="C14" i="2"/>
  <c r="C19" i="2" s="1"/>
  <c r="E9" i="4" l="1"/>
  <c r="C10" i="4"/>
  <c r="E7" i="3"/>
  <c r="E6" i="3"/>
  <c r="C8" i="3"/>
  <c r="C11" i="3" s="1"/>
  <c r="C10" i="3"/>
  <c r="C18" i="2"/>
  <c r="C26" i="2"/>
  <c r="C16" i="2"/>
  <c r="C20" i="2" s="1"/>
  <c r="C21" i="2"/>
  <c r="F9" i="4" l="1"/>
  <c r="F10" i="4" s="1"/>
  <c r="E10" i="4"/>
  <c r="B14" i="4" s="1"/>
  <c r="B15" i="4" s="1"/>
  <c r="C14" i="3"/>
  <c r="C42" i="3"/>
  <c r="C27" i="3"/>
  <c r="C35" i="3"/>
  <c r="C39" i="3"/>
  <c r="C34" i="3"/>
  <c r="C25" i="3"/>
  <c r="C23" i="3"/>
  <c r="C24" i="3"/>
  <c r="C38" i="3"/>
  <c r="C40" i="3"/>
  <c r="C41" i="3"/>
  <c r="C26" i="3"/>
  <c r="C43" i="3"/>
  <c r="C19" i="3"/>
  <c r="C44" i="3"/>
  <c r="C29" i="3"/>
  <c r="C45" i="3"/>
  <c r="C15" i="3"/>
  <c r="C31" i="3"/>
  <c r="C32" i="3"/>
  <c r="C33" i="3"/>
  <c r="C18" i="3"/>
  <c r="C36" i="3"/>
  <c r="C30" i="3"/>
  <c r="C16" i="3"/>
  <c r="C17" i="3"/>
  <c r="C20" i="3"/>
  <c r="C28" i="3"/>
  <c r="C37" i="3"/>
  <c r="C22" i="3"/>
  <c r="C21" i="3"/>
  <c r="B16" i="4" l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C45" i="4" s="1"/>
  <c r="E11" i="4"/>
  <c r="C14" i="4"/>
  <c r="F11" i="4"/>
  <c r="C15" i="4" l="1"/>
  <c r="G11" i="4"/>
  <c r="C37" i="4"/>
  <c r="C30" i="4"/>
  <c r="C38" i="4"/>
  <c r="C43" i="4"/>
  <c r="C41" i="4"/>
  <c r="C42" i="4"/>
  <c r="C19" i="4"/>
  <c r="C31" i="4"/>
  <c r="C20" i="4"/>
  <c r="C16" i="4"/>
  <c r="C28" i="4"/>
  <c r="C24" i="4"/>
  <c r="C44" i="4"/>
  <c r="C21" i="4"/>
  <c r="C27" i="4"/>
  <c r="C35" i="4"/>
  <c r="C25" i="4"/>
  <c r="C22" i="4"/>
  <c r="C33" i="4"/>
  <c r="C17" i="4"/>
  <c r="C40" i="4"/>
  <c r="C34" i="4"/>
  <c r="C39" i="4"/>
  <c r="C29" i="4"/>
  <c r="C26" i="4"/>
  <c r="C23" i="4"/>
  <c r="C36" i="4"/>
  <c r="C32" i="4"/>
  <c r="C18" i="4"/>
</calcChain>
</file>

<file path=xl/sharedStrings.xml><?xml version="1.0" encoding="utf-8"?>
<sst xmlns="http://schemas.openxmlformats.org/spreadsheetml/2006/main" count="52" uniqueCount="37">
  <si>
    <t>Q</t>
  </si>
  <si>
    <t>g</t>
  </si>
  <si>
    <t>b</t>
  </si>
  <si>
    <t>z1</t>
  </si>
  <si>
    <t>z2</t>
  </si>
  <si>
    <t>So</t>
  </si>
  <si>
    <t>n</t>
  </si>
  <si>
    <t>α</t>
  </si>
  <si>
    <t>ρ</t>
  </si>
  <si>
    <t>Y</t>
  </si>
  <si>
    <t>area</t>
  </si>
  <si>
    <t>hydraulic_ratio</t>
  </si>
  <si>
    <t>wet_perimeter</t>
  </si>
  <si>
    <t>c</t>
  </si>
  <si>
    <t>yc_calc</t>
  </si>
  <si>
    <t>top_width</t>
  </si>
  <si>
    <t>yn_calc</t>
  </si>
  <si>
    <t>hydraulic_depth</t>
  </si>
  <si>
    <t>froude_number</t>
  </si>
  <si>
    <t>A rect</t>
  </si>
  <si>
    <t>A left triangle</t>
  </si>
  <si>
    <t>A right triangle</t>
  </si>
  <si>
    <t>A total</t>
  </si>
  <si>
    <t>Steps</t>
  </si>
  <si>
    <t>Tp, time to peak</t>
  </si>
  <si>
    <t>hydrograph_slope_left</t>
  </si>
  <si>
    <t>hydrograph_slope_right</t>
  </si>
  <si>
    <t>Parameter</t>
  </si>
  <si>
    <t>Value</t>
  </si>
  <si>
    <t>Tb, flow duration (hours)</t>
  </si>
  <si>
    <t>Ts, flow time step (minutes)</t>
  </si>
  <si>
    <t>Tpp, % time to peak flow discharge</t>
  </si>
  <si>
    <t>Distributed flow with a triangular unitary hydrograph (UH)</t>
  </si>
  <si>
    <t>Time (hr)</t>
  </si>
  <si>
    <t>Left</t>
  </si>
  <si>
    <t>Right</t>
  </si>
  <si>
    <t># Distributed flow with a triangular unitary hydrograph (UH) for HEC-RAS
def distributed_flow(q, tb, ts, tpp, units, dp):
    tp = tb*tpp/100 # time to peak in hours
    steps = int(tb/(ts/60)) # time steps
    hydrograph_slope_left = q/tp
    hydrograph_slope_right = q/(tb-tp)
    hydrograph_table = f'● Distributed flow with a triangular unitary hydrograph (UH)\n'
    hydrograph_table += f'Time to peak: {tp} hr\n\n'
    hydrograph_table += f'Step, Time (hr), Flow ({units['q']})\n'
    for i in range (steps+1):
        tsa = ts*i/60 # progressive time step
        if tsa &lt;= tp:
            qt = ts*i/60 * hydrograph_slope_left
        else:
            qt = q - (tsa - tp) * hydrograph_slope_right
        hydrograph_table += f'{i}, {round(tsa, dp)}, {round(qt, dp)}\n'
    return  hydrograph_table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</si>
</sst>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sz val="11"/>
      <color rgb="FF0070C0"/>
      <name val="Segoe UI Light"/>
      <family val="2"/>
    </font>
    <font>
      <sz val="6"/>
      <color theme="1"/>
      <name val="Segoe UI Light"/>
      <family val="2"/>
    </font>
    <font>
      <sz val="8"/>
      <color theme="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3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2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'UHv1'!$B$2</c:f>
          <c:strCache>
            <c:ptCount val="1"/>
            <c:pt idx="0">
              <c:v>Distributed flow with a triangular unitary hydrograph (UH)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1285209401585562"/>
          <c:y val="0.17420171946413979"/>
          <c:w val="0.84791594799268155"/>
          <c:h val="0.6574156547340903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'UHv1'!$C$12</c:f>
              <c:strCache>
                <c:ptCount val="1"/>
                <c:pt idx="0">
                  <c:v>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'UHv1'!$B$13:$B$45</c:f>
              <c:numCache>
                <c:formatCode>General</c:formatCode>
                <c:ptCount val="3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0.5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0.83333333333333326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1.4166666666666665</c:v>
                </c:pt>
                <c:pt idx="18">
                  <c:v>1.5</c:v>
                </c:pt>
                <c:pt idx="19">
                  <c:v>1.5833333333333333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1.8333333333333333</c:v>
                </c:pt>
                <c:pt idx="23">
                  <c:v>1.9166666666666665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2.6666666666666665</c:v>
                </c:pt>
              </c:numCache>
            </c:numRef>
          </c:xVal>
          <c:yVal>
            <c:numRef>
              <c:f>'UHv1'!$C$13:$C$45</c:f>
              <c:numCache>
                <c:formatCode>General</c:formatCode>
                <c:ptCount val="33"/>
                <c:pt idx="0">
                  <c:v>0</c:v>
                </c:pt>
                <c:pt idx="1">
                  <c:v>2.2222222222222223</c:v>
                </c:pt>
                <c:pt idx="2">
                  <c:v>4.4444444444444446</c:v>
                </c:pt>
                <c:pt idx="3">
                  <c:v>6.666666666666667</c:v>
                </c:pt>
                <c:pt idx="4">
                  <c:v>8.8888888888888893</c:v>
                </c:pt>
                <c:pt idx="5">
                  <c:v>9.3333333333333339</c:v>
                </c:pt>
                <c:pt idx="6">
                  <c:v>8</c:v>
                </c:pt>
                <c:pt idx="7">
                  <c:v>6.6666666666666679</c:v>
                </c:pt>
                <c:pt idx="8">
                  <c:v>5.3333333333333339</c:v>
                </c:pt>
                <c:pt idx="9">
                  <c:v>4</c:v>
                </c:pt>
                <c:pt idx="10">
                  <c:v>2.6666666666666679</c:v>
                </c:pt>
                <c:pt idx="11">
                  <c:v>1.3333333333333339</c:v>
                </c:pt>
                <c:pt idx="12">
                  <c:v>0</c:v>
                </c:pt>
                <c:pt idx="13">
                  <c:v>-1.3333333333333321</c:v>
                </c:pt>
                <c:pt idx="14">
                  <c:v>-2.6666666666666643</c:v>
                </c:pt>
                <c:pt idx="15">
                  <c:v>-4</c:v>
                </c:pt>
                <c:pt idx="16">
                  <c:v>-5.3333333333333321</c:v>
                </c:pt>
                <c:pt idx="17">
                  <c:v>-6.6666666666666643</c:v>
                </c:pt>
                <c:pt idx="18">
                  <c:v>-8</c:v>
                </c:pt>
                <c:pt idx="19">
                  <c:v>-9.3333333333333321</c:v>
                </c:pt>
                <c:pt idx="20">
                  <c:v>-10.666666666666664</c:v>
                </c:pt>
                <c:pt idx="21">
                  <c:v>-12</c:v>
                </c:pt>
                <c:pt idx="22">
                  <c:v>-13.333333333333332</c:v>
                </c:pt>
                <c:pt idx="23">
                  <c:v>-14.666666666666664</c:v>
                </c:pt>
                <c:pt idx="24">
                  <c:v>-16</c:v>
                </c:pt>
                <c:pt idx="25">
                  <c:v>-17.333333333333329</c:v>
                </c:pt>
                <c:pt idx="26">
                  <c:v>-18.666666666666664</c:v>
                </c:pt>
                <c:pt idx="27">
                  <c:v>-20</c:v>
                </c:pt>
                <c:pt idx="28">
                  <c:v>-21.333333333333329</c:v>
                </c:pt>
                <c:pt idx="29">
                  <c:v>-22.666666666666664</c:v>
                </c:pt>
                <c:pt idx="30">
                  <c:v>-24</c:v>
                </c:pt>
                <c:pt idx="31">
                  <c:v>-25.333333333333329</c:v>
                </c:pt>
                <c:pt idx="32">
                  <c:v>-26.666666666666664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71-4844-A319-CF3633C63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086351"/>
        <c:axId val="728071471"/>
      </c:scatterChart>
      <c:valAx>
        <c:axId val="728086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strRef>
              <c:f>'UHv1'!$B$12</c:f>
              <c:strCache>
                <c:ptCount val="1"/>
                <c:pt idx="0">
                  <c:v>Time (hr)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728071471"/>
        <c:crosses val="autoZero"/>
        <c:crossBetween val="midCat"/>
      </c:valAx>
      <c:valAx>
        <c:axId val="7280714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strRef>
              <c:f>'UHv1'!$C$12</c:f>
              <c:strCache>
                <c:ptCount val="1"/>
                <c:pt idx="0">
                  <c:v>Q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728086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'UHv2'!$B$2</c:f>
          <c:strCache>
            <c:ptCount val="1"/>
            <c:pt idx="0">
              <c:v>Distributed flow with a triangular unitary hydrograph (UH)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1285209401585562"/>
          <c:y val="0.17420171946413979"/>
          <c:w val="0.84791594799268155"/>
          <c:h val="0.6574156547340903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'UHv2'!$C$12</c:f>
              <c:strCache>
                <c:ptCount val="1"/>
                <c:pt idx="0">
                  <c:v>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'UHv2'!$B$13:$B$45</c:f>
              <c:numCache>
                <c:formatCode>General</c:formatCode>
                <c:ptCount val="33"/>
                <c:pt idx="0">
                  <c:v>0</c:v>
                </c:pt>
                <c:pt idx="1">
                  <c:v>7.4999999999999997E-2</c:v>
                </c:pt>
                <c:pt idx="2">
                  <c:v>0.15</c:v>
                </c:pt>
                <c:pt idx="3">
                  <c:v>0.22499999999999998</c:v>
                </c:pt>
                <c:pt idx="4">
                  <c:v>0.3</c:v>
                </c:pt>
                <c:pt idx="5">
                  <c:v>0.375</c:v>
                </c:pt>
                <c:pt idx="6">
                  <c:v>0.4642857142857143</c:v>
                </c:pt>
                <c:pt idx="7">
                  <c:v>0.5535714285714286</c:v>
                </c:pt>
                <c:pt idx="8">
                  <c:v>0.6428571428571429</c:v>
                </c:pt>
                <c:pt idx="9">
                  <c:v>0.73214285714285721</c:v>
                </c:pt>
                <c:pt idx="10">
                  <c:v>0.82142857142857151</c:v>
                </c:pt>
                <c:pt idx="11">
                  <c:v>0.91071428571428581</c:v>
                </c:pt>
                <c:pt idx="12">
                  <c:v>1</c:v>
                </c:pt>
                <c:pt idx="13">
                  <c:v>1.0892857142857142</c:v>
                </c:pt>
                <c:pt idx="14">
                  <c:v>1.1785714285714284</c:v>
                </c:pt>
                <c:pt idx="15">
                  <c:v>1.2678571428571426</c:v>
                </c:pt>
                <c:pt idx="16">
                  <c:v>1.3571428571428568</c:v>
                </c:pt>
                <c:pt idx="17">
                  <c:v>1.446428571428571</c:v>
                </c:pt>
                <c:pt idx="18">
                  <c:v>1.5357142857142851</c:v>
                </c:pt>
                <c:pt idx="19">
                  <c:v>1.6249999999999993</c:v>
                </c:pt>
                <c:pt idx="20">
                  <c:v>1.7142857142857135</c:v>
                </c:pt>
                <c:pt idx="21">
                  <c:v>1.8035714285714277</c:v>
                </c:pt>
                <c:pt idx="22">
                  <c:v>1.8928571428571419</c:v>
                </c:pt>
                <c:pt idx="23">
                  <c:v>1.9821428571428561</c:v>
                </c:pt>
                <c:pt idx="24">
                  <c:v>2.0714285714285703</c:v>
                </c:pt>
                <c:pt idx="25">
                  <c:v>2.1607142857142847</c:v>
                </c:pt>
                <c:pt idx="26">
                  <c:v>2.2499999999999991</c:v>
                </c:pt>
                <c:pt idx="27">
                  <c:v>2.3392857142857135</c:v>
                </c:pt>
                <c:pt idx="28">
                  <c:v>2.4285714285714279</c:v>
                </c:pt>
                <c:pt idx="29">
                  <c:v>2.5178571428571423</c:v>
                </c:pt>
                <c:pt idx="30">
                  <c:v>2.6071428571428568</c:v>
                </c:pt>
                <c:pt idx="31">
                  <c:v>2.6964285714285712</c:v>
                </c:pt>
                <c:pt idx="32">
                  <c:v>2.7857142857142856</c:v>
                </c:pt>
              </c:numCache>
            </c:numRef>
          </c:xVal>
          <c:yVal>
            <c:numRef>
              <c:f>'UHv2'!$C$13:$C$45</c:f>
              <c:numCache>
                <c:formatCode>General</c:formatCode>
                <c:ptCount val="3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 formatCode="0.00">
                  <c:v>6</c:v>
                </c:pt>
                <c:pt idx="4" formatCode="0.00">
                  <c:v>8</c:v>
                </c:pt>
                <c:pt idx="5" formatCode="0.00">
                  <c:v>10</c:v>
                </c:pt>
                <c:pt idx="6" formatCode="0.00">
                  <c:v>8.5714285714285712</c:v>
                </c:pt>
                <c:pt idx="7" formatCode="0.00">
                  <c:v>7.1428571428571423</c:v>
                </c:pt>
                <c:pt idx="8" formatCode="0.00">
                  <c:v>5.7142857142857135</c:v>
                </c:pt>
                <c:pt idx="9" formatCode="0.00">
                  <c:v>4.2857142857142847</c:v>
                </c:pt>
                <c:pt idx="10" formatCode="0.00">
                  <c:v>2.8571428571428559</c:v>
                </c:pt>
                <c:pt idx="11" formatCode="0.00">
                  <c:v>1.428571428571427</c:v>
                </c:pt>
                <c:pt idx="12" formatCode="0.00">
                  <c:v>0</c:v>
                </c:pt>
                <c:pt idx="13" formatCode="0.00">
                  <c:v>-1.428571428571427</c:v>
                </c:pt>
                <c:pt idx="14" formatCode="0.00">
                  <c:v>-2.8571428571428541</c:v>
                </c:pt>
                <c:pt idx="15" formatCode="0.00">
                  <c:v>-4.2857142857142811</c:v>
                </c:pt>
                <c:pt idx="16" formatCode="0.00">
                  <c:v>-5.7142857142857082</c:v>
                </c:pt>
                <c:pt idx="17" formatCode="0.00">
                  <c:v>-7.1428571428571352</c:v>
                </c:pt>
                <c:pt idx="18" formatCode="0.00">
                  <c:v>-8.5714285714285623</c:v>
                </c:pt>
                <c:pt idx="19" formatCode="0.00">
                  <c:v>-9.9999999999999893</c:v>
                </c:pt>
                <c:pt idx="20" formatCode="0.00">
                  <c:v>-11.428571428571416</c:v>
                </c:pt>
                <c:pt idx="21" formatCode="0.00">
                  <c:v>-12.857142857142843</c:v>
                </c:pt>
                <c:pt idx="22" formatCode="0.00">
                  <c:v>-14.28571428571427</c:v>
                </c:pt>
                <c:pt idx="23" formatCode="0.00">
                  <c:v>-15.714285714285698</c:v>
                </c:pt>
                <c:pt idx="24" formatCode="0.00">
                  <c:v>-17.142857142857125</c:v>
                </c:pt>
                <c:pt idx="25" formatCode="0.00">
                  <c:v>-18.571428571428555</c:v>
                </c:pt>
                <c:pt idx="26" formatCode="0.00">
                  <c:v>-19.999999999999986</c:v>
                </c:pt>
                <c:pt idx="27" formatCode="0.00">
                  <c:v>-21.428571428571416</c:v>
                </c:pt>
                <c:pt idx="28" formatCode="0.00">
                  <c:v>-22.857142857142847</c:v>
                </c:pt>
                <c:pt idx="29" formatCode="0.00">
                  <c:v>-24.285714285714278</c:v>
                </c:pt>
                <c:pt idx="30" formatCode="0.00">
                  <c:v>-25.714285714285708</c:v>
                </c:pt>
                <c:pt idx="31" formatCode="0.00">
                  <c:v>-27.142857142857139</c:v>
                </c:pt>
                <c:pt idx="32" formatCode="0.00">
                  <c:v>-28.571428571428569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AC-48C7-B696-DF9CB416B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086351"/>
        <c:axId val="728071471"/>
      </c:scatterChart>
      <c:valAx>
        <c:axId val="728086351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strRef>
              <c:f>'UHv2'!$B$12</c:f>
              <c:strCache>
                <c:ptCount val="1"/>
                <c:pt idx="0">
                  <c:v>Time (hr)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728071471"/>
        <c:crosses val="autoZero"/>
        <c:crossBetween val="midCat"/>
      </c:valAx>
      <c:valAx>
        <c:axId val="7280714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strRef>
              <c:f>'UHv2'!$C$12</c:f>
              <c:strCache>
                <c:ptCount val="1"/>
                <c:pt idx="0">
                  <c:v>Q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728086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437979</xdr:colOff>
      <xdr:row>1</xdr:row>
      <xdr:rowOff>110526</xdr:rowOff>
    </xdr:from>
    <xdr:ext cx="1152174" cy="2898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F64C03D-86AD-6E79-2B58-0BEB0754F551}"/>
                </a:ext>
              </a:extLst>
            </xdr:cNvPr>
            <xdr:cNvSpPr txBox="1"/>
          </xdr:nvSpPr>
          <xdr:spPr>
            <a:xfrm>
              <a:off x="437979" y="292367"/>
              <a:ext cx="1152174" cy="2898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𝑄</m:t>
                    </m:r>
                    <m:r>
                      <a:rPr lang="es-CO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sSup>
                      <m:sSup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2/3</m:t>
                        </m:r>
                      </m:sup>
                    </m:sSup>
                    <m:sSup>
                      <m:sSup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1/2</m:t>
                        </m:r>
                      </m:sup>
                    </m:sSup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F64C03D-86AD-6E79-2B58-0BEB0754F551}"/>
                </a:ext>
              </a:extLst>
            </xdr:cNvPr>
            <xdr:cNvSpPr txBox="1"/>
          </xdr:nvSpPr>
          <xdr:spPr>
            <a:xfrm>
              <a:off x="437979" y="292367"/>
              <a:ext cx="1152174" cy="2898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𝑄</a:t>
              </a:r>
              <a:r>
                <a:rPr lang="es-CO" sz="1100" i="0">
                  <a:latin typeface="Cambria Math" panose="02040503050406030204" pitchFamily="18" charset="0"/>
                </a:rPr>
                <a:t>=</a:t>
              </a:r>
              <a:r>
                <a:rPr lang="en-US" sz="1100" b="0" i="0">
                  <a:latin typeface="Cambria Math" panose="02040503050406030204" pitchFamily="18" charset="0"/>
                </a:rPr>
                <a:t>𝑐</a:t>
              </a:r>
              <a:r>
                <a:rPr lang="es-CO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es-CO" sz="1100" b="0" i="0">
                  <a:latin typeface="Cambria Math" panose="02040503050406030204" pitchFamily="18" charset="0"/>
                </a:rPr>
                <a:t> </a:t>
              </a:r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r>
                <a:rPr lang="es-CO" sz="1100" b="0" i="0">
                  <a:latin typeface="Cambria Math" panose="02040503050406030204" pitchFamily="18" charset="0"/>
                </a:rPr>
                <a:t>〗^(</a:t>
              </a:r>
              <a:r>
                <a:rPr lang="en-US" sz="1100" b="0" i="0">
                  <a:latin typeface="Cambria Math" panose="02040503050406030204" pitchFamily="18" charset="0"/>
                </a:rPr>
                <a:t>2/3</a:t>
              </a:r>
              <a:r>
                <a:rPr lang="es-CO" sz="1100" b="0" i="0">
                  <a:latin typeface="Cambria Math" panose="02040503050406030204" pitchFamily="18" charset="0"/>
                </a:rPr>
                <a:t>) </a:t>
              </a:r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sz="1100" b="0" i="0">
                  <a:latin typeface="Cambria Math" panose="02040503050406030204" pitchFamily="18" charset="0"/>
                </a:rPr>
                <a:t>𝑆</a:t>
              </a:r>
              <a:r>
                <a:rPr lang="es-CO" sz="1100" b="0" i="0">
                  <a:latin typeface="Cambria Math" panose="02040503050406030204" pitchFamily="18" charset="0"/>
                </a:rPr>
                <a:t>〗^(</a:t>
              </a:r>
              <a:r>
                <a:rPr lang="en-US" sz="1100" b="0" i="0">
                  <a:latin typeface="Cambria Math" panose="02040503050406030204" pitchFamily="18" charset="0"/>
                </a:rPr>
                <a:t>1/2</a:t>
              </a:r>
              <a:r>
                <a:rPr lang="es-CO" sz="1100" b="0" i="0">
                  <a:latin typeface="Cambria Math" panose="02040503050406030204" pitchFamily="18" charset="0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3</xdr:col>
      <xdr:colOff>74623</xdr:colOff>
      <xdr:row>1</xdr:row>
      <xdr:rowOff>124381</xdr:rowOff>
    </xdr:from>
    <xdr:ext cx="764247" cy="3879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D0C5C3C-55C5-4F77-868F-5766FF390395}"/>
                </a:ext>
              </a:extLst>
            </xdr:cNvPr>
            <xdr:cNvSpPr txBox="1"/>
          </xdr:nvSpPr>
          <xdr:spPr>
            <a:xfrm>
              <a:off x="1903423" y="307954"/>
              <a:ext cx="764247" cy="3879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𝐹𝑟</m:t>
                    </m:r>
                    <m:r>
                      <a:rPr lang="es-CO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s-CO" sz="110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∙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D0C5C3C-55C5-4F77-868F-5766FF390395}"/>
                </a:ext>
              </a:extLst>
            </xdr:cNvPr>
            <xdr:cNvSpPr txBox="1"/>
          </xdr:nvSpPr>
          <xdr:spPr>
            <a:xfrm>
              <a:off x="1903423" y="307954"/>
              <a:ext cx="764247" cy="3879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𝐹𝑟</a:t>
              </a:r>
              <a:r>
                <a:rPr lang="es-CO" sz="1100" i="0">
                  <a:latin typeface="Cambria Math" panose="02040503050406030204" pitchFamily="18" charset="0"/>
                </a:rPr>
                <a:t>=</a:t>
              </a:r>
              <a:r>
                <a:rPr lang="en-US" sz="1100" b="0" i="0">
                  <a:latin typeface="Cambria Math" panose="02040503050406030204" pitchFamily="18" charset="0"/>
                </a:rPr>
                <a:t>𝑉</a:t>
              </a:r>
              <a:r>
                <a:rPr lang="es-CO" sz="1100" b="0" i="0">
                  <a:latin typeface="Cambria Math" panose="02040503050406030204" pitchFamily="18" charset="0"/>
                </a:rPr>
                <a:t>/√(</a:t>
              </a:r>
              <a:r>
                <a:rPr lang="en-US" sz="1100" b="0" i="0">
                  <a:latin typeface="Cambria Math" panose="02040503050406030204" pitchFamily="18" charset="0"/>
                </a:rPr>
                <a:t>𝑔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sz="1100" b="0" i="0">
                  <a:latin typeface="Cambria Math" panose="02040503050406030204" pitchFamily="18" charset="0"/>
                </a:rPr>
                <a:t>𝐷</a:t>
              </a:r>
              <a:r>
                <a:rPr lang="es-CO" sz="1100" b="0" i="0">
                  <a:latin typeface="Cambria Math" panose="02040503050406030204" pitchFamily="18" charset="0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0</xdr:col>
      <xdr:colOff>413471</xdr:colOff>
      <xdr:row>4</xdr:row>
      <xdr:rowOff>127722</xdr:rowOff>
    </xdr:from>
    <xdr:ext cx="395045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47359C2-3B22-4DB1-B9FB-2A090F02D38C}"/>
                </a:ext>
              </a:extLst>
            </xdr:cNvPr>
            <xdr:cNvSpPr txBox="1"/>
          </xdr:nvSpPr>
          <xdr:spPr>
            <a:xfrm>
              <a:off x="413471" y="855086"/>
              <a:ext cx="395045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es-CO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47359C2-3B22-4DB1-B9FB-2A090F02D38C}"/>
                </a:ext>
              </a:extLst>
            </xdr:cNvPr>
            <xdr:cNvSpPr txBox="1"/>
          </xdr:nvSpPr>
          <xdr:spPr>
            <a:xfrm>
              <a:off x="413471" y="855086"/>
              <a:ext cx="395045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r>
                <a:rPr lang="es-CO" sz="1100" i="0">
                  <a:latin typeface="Cambria Math" panose="02040503050406030204" pitchFamily="18" charset="0"/>
                </a:rPr>
                <a:t>=</a:t>
              </a:r>
              <a:r>
                <a:rPr lang="en-US" sz="1100" b="0" i="0">
                  <a:latin typeface="Cambria Math" panose="02040503050406030204" pitchFamily="18" charset="0"/>
                </a:rPr>
                <a:t>𝐴</a:t>
              </a:r>
              <a:r>
                <a:rPr lang="es-CO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 panose="02040503050406030204" pitchFamily="18" charset="0"/>
                </a:rPr>
                <a:t>𝑃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</xdr:col>
      <xdr:colOff>347229</xdr:colOff>
      <xdr:row>4</xdr:row>
      <xdr:rowOff>124258</xdr:rowOff>
    </xdr:from>
    <xdr:ext cx="402546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9AD8BEF-57CC-9F3E-2ADA-A1698F2329CA}"/>
                </a:ext>
              </a:extLst>
            </xdr:cNvPr>
            <xdr:cNvSpPr txBox="1"/>
          </xdr:nvSpPr>
          <xdr:spPr>
            <a:xfrm>
              <a:off x="994496" y="851622"/>
              <a:ext cx="402546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𝐷</m:t>
                    </m:r>
                    <m:r>
                      <a:rPr lang="es-CO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9AD8BEF-57CC-9F3E-2ADA-A1698F2329CA}"/>
                </a:ext>
              </a:extLst>
            </xdr:cNvPr>
            <xdr:cNvSpPr txBox="1"/>
          </xdr:nvSpPr>
          <xdr:spPr>
            <a:xfrm>
              <a:off x="994496" y="851622"/>
              <a:ext cx="402546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𝐷</a:t>
              </a:r>
              <a:r>
                <a:rPr lang="es-CO" sz="1100" i="0">
                  <a:latin typeface="Cambria Math" panose="02040503050406030204" pitchFamily="18" charset="0"/>
                </a:rPr>
                <a:t>=</a:t>
              </a:r>
              <a:r>
                <a:rPr lang="en-US" sz="1100" b="0" i="0">
                  <a:latin typeface="Cambria Math" panose="02040503050406030204" pitchFamily="18" charset="0"/>
                </a:rPr>
                <a:t>𝐴</a:t>
              </a:r>
              <a:r>
                <a:rPr lang="es-CO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 panose="02040503050406030204" pitchFamily="18" charset="0"/>
                </a:rPr>
                <a:t>𝑇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341600</xdr:colOff>
      <xdr:row>4</xdr:row>
      <xdr:rowOff>131618</xdr:rowOff>
    </xdr:from>
    <xdr:ext cx="303994" cy="2403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9FDAF0B-BBEB-1540-C51D-5292D6E33460}"/>
                </a:ext>
              </a:extLst>
            </xdr:cNvPr>
            <xdr:cNvSpPr txBox="1"/>
          </xdr:nvSpPr>
          <xdr:spPr>
            <a:xfrm>
              <a:off x="1636134" y="858982"/>
              <a:ext cx="303994" cy="2403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/>
                <a:t>v</a:t>
              </a:r>
              <a:r>
                <a:rPr lang="es-CO" sz="1100" baseline="0"/>
                <a:t> </a:t>
              </a:r>
              <a14:m>
                <m:oMath xmlns:m="http://schemas.openxmlformats.org/officeDocument/2006/math">
                  <m:r>
                    <a:rPr lang="es-CO" sz="110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s-CO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𝑄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𝐴</m:t>
                      </m:r>
                    </m:den>
                  </m:f>
                </m:oMath>
              </a14:m>
              <a:endParaRPr lang="es-CO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9FDAF0B-BBEB-1540-C51D-5292D6E33460}"/>
                </a:ext>
              </a:extLst>
            </xdr:cNvPr>
            <xdr:cNvSpPr txBox="1"/>
          </xdr:nvSpPr>
          <xdr:spPr>
            <a:xfrm>
              <a:off x="1636134" y="858982"/>
              <a:ext cx="303994" cy="2403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/>
                <a:t>v</a:t>
              </a:r>
              <a:r>
                <a:rPr lang="es-CO" sz="1100" baseline="0"/>
                <a:t> </a:t>
              </a:r>
              <a:r>
                <a:rPr lang="es-CO" sz="1100" i="0">
                  <a:latin typeface="Cambria Math" panose="02040503050406030204" pitchFamily="18" charset="0"/>
                </a:rPr>
                <a:t>=</a:t>
              </a:r>
              <a:r>
                <a:rPr lang="en-US" sz="1100" b="0" i="0">
                  <a:latin typeface="Cambria Math" panose="02040503050406030204" pitchFamily="18" charset="0"/>
                </a:rPr>
                <a:t>𝑄</a:t>
              </a:r>
              <a:r>
                <a:rPr lang="es-CO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 panose="02040503050406030204" pitchFamily="18" charset="0"/>
                </a:rPr>
                <a:t>𝐴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3</xdr:col>
      <xdr:colOff>374938</xdr:colOff>
      <xdr:row>4</xdr:row>
      <xdr:rowOff>134649</xdr:rowOff>
    </xdr:from>
    <xdr:ext cx="1059714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447B4A3-F523-DE40-DB8F-E2B1DC8D1278}"/>
                </a:ext>
              </a:extLst>
            </xdr:cNvPr>
            <xdr:cNvSpPr txBox="1"/>
          </xdr:nvSpPr>
          <xdr:spPr>
            <a:xfrm>
              <a:off x="2316739" y="862013"/>
              <a:ext cx="105971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100"/>
                <a:t>τ</a:t>
              </a:r>
              <a:r>
                <a:rPr lang="hy-AM" sz="1100" baseline="-25000"/>
                <a:t>օ</a:t>
              </a:r>
              <a:r>
                <a:rPr lang="es-CO" sz="1100" baseline="0"/>
                <a:t> </a:t>
              </a:r>
              <a14:m>
                <m:oMath xmlns:m="http://schemas.openxmlformats.org/officeDocument/2006/math">
                  <m:r>
                    <a:rPr lang="es-CO" sz="1100" i="1">
                      <a:latin typeface="Cambria Math" panose="02040503050406030204" pitchFamily="18" charset="0"/>
                    </a:rPr>
                    <m:t>=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l-GR" sz="1100" b="0" i="1">
                      <a:latin typeface="Cambria Math" panose="02040503050406030204" pitchFamily="18" charset="0"/>
                    </a:rPr>
                    <m:t>𝜌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∙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𝑔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∙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𝑅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∙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𝑆𝑜</m:t>
                  </m:r>
                </m:oMath>
              </a14:m>
              <a:r>
                <a:rPr lang="es-CO" sz="1100"/>
                <a:t> </a:t>
              </a: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447B4A3-F523-DE40-DB8F-E2B1DC8D1278}"/>
                </a:ext>
              </a:extLst>
            </xdr:cNvPr>
            <xdr:cNvSpPr txBox="1"/>
          </xdr:nvSpPr>
          <xdr:spPr>
            <a:xfrm>
              <a:off x="2316739" y="862013"/>
              <a:ext cx="105971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100"/>
                <a:t>τ</a:t>
              </a:r>
              <a:r>
                <a:rPr lang="hy-AM" sz="1100" baseline="-25000"/>
                <a:t>օ</a:t>
              </a:r>
              <a:r>
                <a:rPr lang="es-CO" sz="1100" baseline="0"/>
                <a:t> </a:t>
              </a:r>
              <a:r>
                <a:rPr lang="es-CO" sz="1100" i="0">
                  <a:latin typeface="Cambria Math" panose="02040503050406030204" pitchFamily="18" charset="0"/>
                </a:rPr>
                <a:t>=</a:t>
              </a:r>
              <a:r>
                <a:rPr lang="en-US" sz="1100" b="0" i="0">
                  <a:latin typeface="Cambria Math" panose="02040503050406030204" pitchFamily="18" charset="0"/>
                </a:rPr>
                <a:t> </a:t>
              </a:r>
              <a:r>
                <a:rPr lang="el-GR" sz="1100" b="0" i="0">
                  <a:latin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sz="1100" b="0" i="0">
                  <a:latin typeface="Cambria Math" panose="02040503050406030204" pitchFamily="18" charset="0"/>
                </a:rPr>
                <a:t>𝑔∙𝑅∙𝑆</a:t>
              </a:r>
              <a:r>
                <a:rPr lang="en-US" sz="1100" b="0" i="0" baseline="-25000">
                  <a:latin typeface="Cambria Math" panose="02040503050406030204" pitchFamily="18" charset="0"/>
                </a:rPr>
                <a:t>𝑜</a:t>
              </a:r>
              <a:r>
                <a:rPr lang="es-CO" sz="1100"/>
                <a:t> </a:t>
              </a:r>
            </a:p>
          </xdr:txBody>
        </xdr:sp>
      </mc:Fallback>
    </mc:AlternateContent>
    <xdr:clientData/>
  </xdr:oneCellAnchor>
  <xdr:oneCellAnchor>
    <xdr:from>
      <xdr:col>0</xdr:col>
      <xdr:colOff>481877</xdr:colOff>
      <xdr:row>8</xdr:row>
      <xdr:rowOff>3465</xdr:rowOff>
    </xdr:from>
    <xdr:ext cx="143827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CA9E1CF-8807-512D-42E9-93020841F49C}"/>
                </a:ext>
              </a:extLst>
            </xdr:cNvPr>
            <xdr:cNvSpPr txBox="1"/>
          </xdr:nvSpPr>
          <xdr:spPr>
            <a:xfrm>
              <a:off x="481877" y="1458192"/>
              <a:ext cx="143827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baseline="0"/>
                <a:t>F </a:t>
              </a:r>
              <a14:m>
                <m:oMath xmlns:m="http://schemas.openxmlformats.org/officeDocument/2006/math">
                  <m:r>
                    <a:rPr lang="es-CO" sz="1100" i="1">
                      <a:latin typeface="Cambria Math" panose="02040503050406030204" pitchFamily="18" charset="0"/>
                    </a:rPr>
                    <m:t>=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𝑌</m:t>
                  </m:r>
                  <m:r>
                    <a:rPr lang="en-US" sz="1100" b="0" i="1" baseline="-25000">
                      <a:latin typeface="Cambria Math" panose="02040503050406030204" pitchFamily="18" charset="0"/>
                    </a:rPr>
                    <m:t>𝑐𝑒𝑛𝑡𝑟𝑜𝑖𝑑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∙</m:t>
                  </m:r>
                  <m:r>
                    <a:rPr lang="el-GR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l-GR" sz="1100" b="0" i="1">
                      <a:latin typeface="Cambria Math" panose="02040503050406030204" pitchFamily="18" charset="0"/>
                    </a:rPr>
                    <m:t>𝜌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∙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𝑔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∙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𝐴</m:t>
                  </m:r>
                </m:oMath>
              </a14:m>
              <a:r>
                <a:rPr lang="es-CO" sz="1100"/>
                <a:t> </a:t>
              </a: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CA9E1CF-8807-512D-42E9-93020841F49C}"/>
                </a:ext>
              </a:extLst>
            </xdr:cNvPr>
            <xdr:cNvSpPr txBox="1"/>
          </xdr:nvSpPr>
          <xdr:spPr>
            <a:xfrm>
              <a:off x="481877" y="1458192"/>
              <a:ext cx="143827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aseline="0"/>
                <a:t>F </a:t>
              </a:r>
              <a:r>
                <a:rPr lang="es-CO" sz="1100" i="0">
                  <a:latin typeface="Cambria Math" panose="02040503050406030204" pitchFamily="18" charset="0"/>
                </a:rPr>
                <a:t>=</a:t>
              </a:r>
              <a:r>
                <a:rPr lang="en-US" sz="1100" b="0" i="0">
                  <a:latin typeface="Cambria Math" panose="02040503050406030204" pitchFamily="18" charset="0"/>
                </a:rPr>
                <a:t>𝑌</a:t>
              </a:r>
              <a:r>
                <a:rPr lang="en-US" sz="1100" b="0" i="0" baseline="-25000">
                  <a:latin typeface="Cambria Math" panose="02040503050406030204" pitchFamily="18" charset="0"/>
                </a:rPr>
                <a:t>𝑐𝑒𝑛𝑡𝑟𝑜𝑖𝑑</a:t>
              </a:r>
              <a:r>
                <a:rPr lang="en-US" sz="1100" b="0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l-GR" sz="1100" b="0" i="0">
                  <a:latin typeface="Cambria Math" panose="02040503050406030204" pitchFamily="18" charset="0"/>
                </a:rPr>
                <a:t> 𝜌</a:t>
              </a:r>
              <a:r>
                <a:rPr lang="en-US" sz="1100" b="0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sz="1100" b="0" i="0">
                  <a:latin typeface="Cambria Math" panose="02040503050406030204" pitchFamily="18" charset="0"/>
                </a:rPr>
                <a:t> 𝑔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sz="1100" b="0" i="0">
                  <a:latin typeface="Cambria Math" panose="02040503050406030204" pitchFamily="18" charset="0"/>
                </a:rPr>
                <a:t>𝐴</a:t>
              </a:r>
              <a:r>
                <a:rPr lang="es-CO" sz="1100"/>
                <a:t> </a:t>
              </a:r>
            </a:p>
          </xdr:txBody>
        </xdr:sp>
      </mc:Fallback>
    </mc:AlternateContent>
    <xdr:clientData/>
  </xdr:oneCellAnchor>
  <xdr:oneCellAnchor>
    <xdr:from>
      <xdr:col>3</xdr:col>
      <xdr:colOff>271028</xdr:colOff>
      <xdr:row>7</xdr:row>
      <xdr:rowOff>32905</xdr:rowOff>
    </xdr:from>
    <xdr:ext cx="1377229" cy="4346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8CEB4CB-3CA4-D1B9-28BF-FDEA11357994}"/>
                </a:ext>
              </a:extLst>
            </xdr:cNvPr>
            <xdr:cNvSpPr txBox="1"/>
          </xdr:nvSpPr>
          <xdr:spPr>
            <a:xfrm>
              <a:off x="2212829" y="1305791"/>
              <a:ext cx="1377229" cy="4346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𝑆</m:t>
                    </m:r>
                    <m:r>
                      <a:rPr lang="en-US" sz="1100" b="0" i="1" baseline="-25000">
                        <a:latin typeface="Cambria Math" panose="02040503050406030204" pitchFamily="18" charset="0"/>
                      </a:rPr>
                      <m:t>𝑐</m:t>
                    </m:r>
                    <m:r>
                      <a:rPr lang="es-CO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𝑔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f>
                      <m:f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type m:val="lin"/>
                            <m:ctrlPr>
                              <a:rPr lang="es-CO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</m:t>
                            </m:r>
                            <m:r>
                              <a:rPr lang="en-US" sz="11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sz="11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</m:t>
                            </m:r>
                          </m:den>
                        </m:f>
                      </m:num>
                      <m:den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 </m:t>
                        </m:r>
                        <m:rad>
                          <m:rad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radPr>
                          <m:deg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</m:t>
                            </m:r>
                          </m:deg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</m:t>
                            </m:r>
                            <m:r>
                              <a:rPr lang="en-US" sz="11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8CEB4CB-3CA4-D1B9-28BF-FDEA11357994}"/>
                </a:ext>
              </a:extLst>
            </xdr:cNvPr>
            <xdr:cNvSpPr txBox="1"/>
          </xdr:nvSpPr>
          <xdr:spPr>
            <a:xfrm>
              <a:off x="2212829" y="1305791"/>
              <a:ext cx="1377229" cy="4346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</a:t>
              </a:r>
              <a:r>
                <a:rPr lang="en-US" sz="1100" b="0" i="0" baseline="-25000">
                  <a:latin typeface="Cambria Math" panose="02040503050406030204" pitchFamily="18" charset="0"/>
                </a:rPr>
                <a:t>𝑐</a:t>
              </a:r>
              <a:r>
                <a:rPr lang="es-CO" sz="1100" i="0">
                  <a:latin typeface="Cambria Math" panose="02040503050406030204" pitchFamily="18" charset="0"/>
                </a:rPr>
                <a:t>=</a:t>
              </a:r>
              <a:r>
                <a:rPr lang="en-US" sz="1100" b="0" i="0">
                  <a:latin typeface="Cambria Math" panose="02040503050406030204" pitchFamily="18" charset="0"/>
                </a:rPr>
                <a:t>𝑔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∙𝑛^2∙</a:t>
              </a:r>
              <a:r>
                <a:rPr lang="es-CO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</a:t>
              </a:r>
              <a:r>
                <a:rPr lang="en-US" sz="11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</a:t>
              </a:r>
              <a:r>
                <a:rPr lang="es-CO" sz="11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∕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sz="11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</a:t>
              </a:r>
              <a:r>
                <a:rPr lang="es-CO" sz="11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100" b="0" i="0">
                  <a:latin typeface="Cambria Math" panose="02040503050406030204" pitchFamily="18" charset="0"/>
                </a:rPr>
                <a:t>𝑐^2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 ∛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𝑅</a:t>
              </a:r>
              <a:r>
                <a:rPr lang="en-US" sz="11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</a:t>
              </a:r>
              <a:r>
                <a:rPr lang="es-CO" sz="11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4</xdr:col>
      <xdr:colOff>340735</xdr:colOff>
      <xdr:row>1</xdr:row>
      <xdr:rowOff>113434</xdr:rowOff>
    </xdr:from>
    <xdr:ext cx="1703095" cy="3801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461EEC6-2E23-BD68-A69A-DA95EF10CD6D}"/>
                </a:ext>
              </a:extLst>
            </xdr:cNvPr>
            <xdr:cNvSpPr txBox="1"/>
          </xdr:nvSpPr>
          <xdr:spPr>
            <a:xfrm>
              <a:off x="2929803" y="295275"/>
              <a:ext cx="1703095" cy="3801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𝐹𝑟</m:t>
                    </m:r>
                    <m:r>
                      <a:rPr lang="es-CO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𝐼𝑛𝑒𝑟𝑡𝑖𝑎𝑙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𝐹𝑜𝑟𝑐𝑒𝑠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𝐺𝑟𝑎𝑣𝑖𝑡𝑎𝑡𝑖𝑜𝑛𝑎𝑙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𝐹𝑜𝑟𝑐𝑒𝑠</m:t>
                        </m:r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461EEC6-2E23-BD68-A69A-DA95EF10CD6D}"/>
                </a:ext>
              </a:extLst>
            </xdr:cNvPr>
            <xdr:cNvSpPr txBox="1"/>
          </xdr:nvSpPr>
          <xdr:spPr>
            <a:xfrm>
              <a:off x="2929803" y="295275"/>
              <a:ext cx="1703095" cy="3801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𝐹𝑟</a:t>
              </a:r>
              <a:r>
                <a:rPr lang="es-CO" sz="1100" i="0">
                  <a:latin typeface="Cambria Math" panose="02040503050406030204" pitchFamily="18" charset="0"/>
                </a:rPr>
                <a:t>=(</a:t>
              </a:r>
              <a:r>
                <a:rPr lang="en-US" sz="1100" b="0" i="0">
                  <a:latin typeface="Cambria Math" panose="02040503050406030204" pitchFamily="18" charset="0"/>
                </a:rPr>
                <a:t>𝐼𝑛𝑒𝑟𝑡𝑖𝑎𝑙 𝐹𝑜𝑟𝑐𝑒𝑠</a:t>
              </a:r>
              <a:r>
                <a:rPr lang="es-CO" sz="1100" b="0" i="0">
                  <a:latin typeface="Cambria Math" panose="02040503050406030204" pitchFamily="18" charset="0"/>
                </a:rPr>
                <a:t>)/(</a:t>
              </a:r>
              <a:r>
                <a:rPr lang="en-US" sz="1100" b="0" i="0">
                  <a:latin typeface="Cambria Math" panose="02040503050406030204" pitchFamily="18" charset="0"/>
                </a:rPr>
                <a:t>𝐺𝑟𝑎𝑣𝑖𝑡𝑎𝑡𝑖𝑜𝑛𝑎𝑙 𝐹𝑜𝑟𝑐𝑒𝑠</a:t>
              </a:r>
              <a:r>
                <a:rPr lang="es-CO" sz="1100" b="0" i="0">
                  <a:latin typeface="Cambria Math" panose="02040503050406030204" pitchFamily="18" charset="0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162468</xdr:colOff>
      <xdr:row>0</xdr:row>
      <xdr:rowOff>119351</xdr:rowOff>
    </xdr:from>
    <xdr:to>
      <xdr:col>12</xdr:col>
      <xdr:colOff>620400</xdr:colOff>
      <xdr:row>11</xdr:row>
      <xdr:rowOff>82349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F70E9F-FD12-BDF4-632A-F3A6535D9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497913</xdr:colOff>
      <xdr:row>0</xdr:row>
      <xdr:rowOff>177328</xdr:rowOff>
    </xdr:from>
    <xdr:to>
      <xdr:col>14</xdr:col>
      <xdr:colOff>301518</xdr:colOff>
      <xdr:row>11</xdr:row>
      <xdr:rowOff>140326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02A94D-A2FC-4E9F-B0B3-C95F2FDA17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1DA7F-54BA-42EA-936B-255DBEAE6AFA}">
  <dimension ref="A1"/>
  <sheetViews>
    <sheetView showGridLines="0" zoomScale="220" zoomScaleNormal="220" workbookViewId="0">
      <selection activeCell="H8" sqref="H8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00E0-8396-4378-B0AF-734AA45CB522}">
  <dimension ref="B2:C26"/>
  <sheetViews>
    <sheetView showGridLines="0" zoomScale="130" zoomScaleNormal="130" workbookViewId="0"/>
  </sheetViews>
  <sheetFormatPr defaultColWidth="9.1328125" defaultRowHeight="16.5" x14ac:dyDescent="0.6"/>
  <cols>
    <col min="1" max="1" width="2.53125" style="1" customWidth="1"/>
    <col min="2" max="2" width="13.46484375" style="1" customWidth="1"/>
    <col min="3" max="3" width="48.19921875" style="1" customWidth="1"/>
    <col min="4" max="4" width="2.53125" style="1" customWidth="1"/>
    <col min="5" max="16384" width="9.1328125" style="1"/>
  </cols>
  <sheetData>
    <row r="2" spans="2:3" x14ac:dyDescent="0.6">
      <c r="B2" s="1" t="s">
        <v>0</v>
      </c>
      <c r="C2" s="2">
        <v>10</v>
      </c>
    </row>
    <row r="3" spans="2:3" x14ac:dyDescent="0.6">
      <c r="B3" s="1" t="s">
        <v>1</v>
      </c>
      <c r="C3" s="2">
        <v>9.8059999999999992</v>
      </c>
    </row>
    <row r="4" spans="2:3" x14ac:dyDescent="0.6">
      <c r="B4" s="1" t="s">
        <v>2</v>
      </c>
      <c r="C4" s="2">
        <v>5</v>
      </c>
    </row>
    <row r="5" spans="2:3" x14ac:dyDescent="0.6">
      <c r="B5" s="1" t="s">
        <v>3</v>
      </c>
      <c r="C5" s="2">
        <v>-0.5</v>
      </c>
    </row>
    <row r="6" spans="2:3" x14ac:dyDescent="0.6">
      <c r="B6" s="1" t="s">
        <v>4</v>
      </c>
      <c r="C6" s="2">
        <v>-0.5</v>
      </c>
    </row>
    <row r="7" spans="2:3" x14ac:dyDescent="0.6">
      <c r="B7" s="1" t="s">
        <v>5</v>
      </c>
      <c r="C7" s="2">
        <v>8.9689999999999995E-4</v>
      </c>
    </row>
    <row r="8" spans="2:3" x14ac:dyDescent="0.6">
      <c r="B8" s="1" t="s">
        <v>6</v>
      </c>
      <c r="C8" s="2">
        <v>3.5000000000000003E-2</v>
      </c>
    </row>
    <row r="9" spans="2:3" x14ac:dyDescent="0.6">
      <c r="B9" s="1" t="s">
        <v>7</v>
      </c>
      <c r="C9" s="2">
        <v>1</v>
      </c>
    </row>
    <row r="10" spans="2:3" x14ac:dyDescent="0.6">
      <c r="B10" s="1" t="s">
        <v>8</v>
      </c>
      <c r="C10" s="2">
        <v>1000</v>
      </c>
    </row>
    <row r="11" spans="2:3" x14ac:dyDescent="0.6">
      <c r="B11" s="1" t="s">
        <v>9</v>
      </c>
      <c r="C11" s="2">
        <v>2.0017697755933699</v>
      </c>
    </row>
    <row r="12" spans="2:3" x14ac:dyDescent="0.6">
      <c r="B12" s="1" t="s">
        <v>13</v>
      </c>
      <c r="C12" s="2">
        <v>1</v>
      </c>
    </row>
    <row r="14" spans="2:3" x14ac:dyDescent="0.6">
      <c r="B14" s="1" t="s">
        <v>10</v>
      </c>
      <c r="C14" s="1">
        <f>b*y+((y^2)/2)*(z1_+z2_)</f>
        <v>8.005307760727284</v>
      </c>
    </row>
    <row r="15" spans="2:3" x14ac:dyDescent="0.6">
      <c r="B15" s="1" t="s">
        <v>12</v>
      </c>
      <c r="C15" s="1">
        <f>b + y * ((1 + z1_ ^ 2)^ 0.5 + (1 + z2_ ^ 2)^ 0.5)</f>
        <v>9.4760932935312745</v>
      </c>
    </row>
    <row r="16" spans="2:3" x14ac:dyDescent="0.6">
      <c r="B16" s="1" t="s">
        <v>11</v>
      </c>
      <c r="C16" s="1">
        <f>area/wet_perimeter</f>
        <v>0.84478988468718408</v>
      </c>
    </row>
    <row r="17" spans="2:3" x14ac:dyDescent="0.6">
      <c r="B17" s="1" t="s">
        <v>15</v>
      </c>
      <c r="C17" s="1">
        <f>b + y * (z1_ + z2_)</f>
        <v>2.9982302244066301</v>
      </c>
    </row>
    <row r="18" spans="2:3" x14ac:dyDescent="0.6">
      <c r="B18" s="1" t="s">
        <v>17</v>
      </c>
      <c r="C18" s="1">
        <f>area/wet_perimeter</f>
        <v>0.84478988468718408</v>
      </c>
    </row>
    <row r="19" spans="2:3" x14ac:dyDescent="0.6">
      <c r="B19" s="1" t="s">
        <v>14</v>
      </c>
      <c r="C19" s="1">
        <f>q-((g*area^3)/(alpha*top_width))^0.5</f>
        <v>-30.961938840092358</v>
      </c>
    </row>
    <row r="20" spans="2:3" x14ac:dyDescent="0.6">
      <c r="B20" s="1" t="s">
        <v>16</v>
      </c>
      <c r="C20" s="1">
        <f>q - ((c_ / n) * (area) * (hydraulic_ratio) ^ (2 / 3) * so ^ 0.5)</f>
        <v>3.8786416549782086</v>
      </c>
    </row>
    <row r="21" spans="2:3" x14ac:dyDescent="0.6">
      <c r="B21" s="1" t="s">
        <v>18</v>
      </c>
      <c r="C21" s="1">
        <f xml:space="preserve"> (q/area) / (g * hydraulic_depth) ^ 0.5</f>
        <v>0.43401193271176486</v>
      </c>
    </row>
    <row r="23" spans="2:3" x14ac:dyDescent="0.6">
      <c r="B23" s="1" t="s">
        <v>19</v>
      </c>
      <c r="C23" s="1">
        <f>b*y</f>
        <v>10.00884887796685</v>
      </c>
    </row>
    <row r="24" spans="2:3" x14ac:dyDescent="0.6">
      <c r="B24" s="1" t="s">
        <v>20</v>
      </c>
      <c r="C24" s="1">
        <f>y*(y*z1_)/2</f>
        <v>-1.0017705586197827</v>
      </c>
    </row>
    <row r="25" spans="2:3" x14ac:dyDescent="0.6">
      <c r="B25" s="1" t="s">
        <v>21</v>
      </c>
      <c r="C25" s="1">
        <f>y*(y*z2_)/2</f>
        <v>-1.0017705586197827</v>
      </c>
    </row>
    <row r="26" spans="2:3" x14ac:dyDescent="0.6">
      <c r="B26" s="1" t="s">
        <v>22</v>
      </c>
      <c r="C26" s="1">
        <f>+C23+C24+C25</f>
        <v>8.0053077607272858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609A9-26C1-4636-AED4-B43ED30D49AC}">
  <dimension ref="A2:R45"/>
  <sheetViews>
    <sheetView showGridLines="0" zoomScale="115" zoomScaleNormal="115" workbookViewId="0">
      <pane ySplit="12" topLeftCell="A13" activePane="bottomLeft" state="frozenSplit"/>
      <selection pane="bottomLeft" activeCell="N2" sqref="N2:R11"/>
    </sheetView>
  </sheetViews>
  <sheetFormatPr defaultColWidth="9.1328125" defaultRowHeight="16.5" x14ac:dyDescent="0.6"/>
  <cols>
    <col min="1" max="1" width="2.53125" style="1" customWidth="1"/>
    <col min="2" max="2" width="30.86328125" style="1" customWidth="1"/>
    <col min="3" max="3" width="16.46484375" style="1" customWidth="1"/>
    <col min="4" max="4" width="2.53125" style="1" customWidth="1"/>
    <col min="5" max="5" width="7.46484375" style="16" customWidth="1"/>
    <col min="6" max="6" width="9.1328125" style="16"/>
    <col min="7" max="16384" width="9.1328125" style="1"/>
  </cols>
  <sheetData>
    <row r="2" spans="1:18" x14ac:dyDescent="0.6">
      <c r="B2" s="1" t="s">
        <v>32</v>
      </c>
      <c r="N2" s="20" t="s">
        <v>36</v>
      </c>
      <c r="O2" s="20"/>
      <c r="P2" s="20"/>
      <c r="Q2" s="20"/>
      <c r="R2" s="20"/>
    </row>
    <row r="3" spans="1:18" x14ac:dyDescent="0.6">
      <c r="B3" s="5" t="s">
        <v>27</v>
      </c>
      <c r="C3" s="6" t="s">
        <v>28</v>
      </c>
      <c r="N3" s="20"/>
      <c r="O3" s="20"/>
      <c r="P3" s="20"/>
      <c r="Q3" s="20"/>
      <c r="R3" s="20"/>
    </row>
    <row r="4" spans="1:18" x14ac:dyDescent="0.6">
      <c r="B4" s="4" t="s">
        <v>0</v>
      </c>
      <c r="C4" s="7">
        <f>q</f>
        <v>10</v>
      </c>
      <c r="N4" s="20"/>
      <c r="O4" s="20"/>
      <c r="P4" s="20"/>
      <c r="Q4" s="20"/>
      <c r="R4" s="20"/>
    </row>
    <row r="5" spans="1:18" x14ac:dyDescent="0.6">
      <c r="B5" s="4" t="s">
        <v>29</v>
      </c>
      <c r="C5" s="7">
        <v>1</v>
      </c>
      <c r="N5" s="20"/>
      <c r="O5" s="20"/>
      <c r="P5" s="20"/>
      <c r="Q5" s="20"/>
      <c r="R5" s="20"/>
    </row>
    <row r="6" spans="1:18" x14ac:dyDescent="0.6">
      <c r="A6" s="15"/>
      <c r="B6" s="4" t="s">
        <v>30</v>
      </c>
      <c r="C6" s="7">
        <v>5</v>
      </c>
      <c r="E6" s="17">
        <f>(C5/32)*60</f>
        <v>1.875</v>
      </c>
      <c r="N6" s="20"/>
      <c r="O6" s="20"/>
      <c r="P6" s="20"/>
      <c r="Q6" s="20"/>
      <c r="R6" s="20"/>
    </row>
    <row r="7" spans="1:18" x14ac:dyDescent="0.6">
      <c r="B7" s="4" t="s">
        <v>31</v>
      </c>
      <c r="C7" s="7">
        <v>37.5</v>
      </c>
      <c r="E7" s="17">
        <f>Tb*Tpp/100</f>
        <v>0.375</v>
      </c>
      <c r="N7" s="20"/>
      <c r="O7" s="20"/>
      <c r="P7" s="20"/>
      <c r="Q7" s="20"/>
      <c r="R7" s="20"/>
    </row>
    <row r="8" spans="1:18" x14ac:dyDescent="0.6">
      <c r="B8" s="4" t="s">
        <v>24</v>
      </c>
      <c r="C8" s="8">
        <f>Tb*(Tpp/100)</f>
        <v>0.375</v>
      </c>
      <c r="N8" s="20"/>
      <c r="O8" s="20"/>
      <c r="P8" s="20"/>
      <c r="Q8" s="20"/>
      <c r="R8" s="20"/>
    </row>
    <row r="9" spans="1:18" x14ac:dyDescent="0.6">
      <c r="B9" s="4" t="s">
        <v>23</v>
      </c>
      <c r="C9" s="8">
        <f>Tb/(Ts/60)</f>
        <v>12</v>
      </c>
      <c r="N9" s="20"/>
      <c r="O9" s="20"/>
      <c r="P9" s="20"/>
      <c r="Q9" s="20"/>
      <c r="R9" s="20"/>
    </row>
    <row r="10" spans="1:18" x14ac:dyDescent="0.6">
      <c r="B10" s="4" t="s">
        <v>25</v>
      </c>
      <c r="C10" s="8">
        <f>q/Tp</f>
        <v>26.666666666666668</v>
      </c>
      <c r="N10" s="20"/>
      <c r="O10" s="20"/>
      <c r="P10" s="20"/>
      <c r="Q10" s="20"/>
      <c r="R10" s="20"/>
    </row>
    <row r="11" spans="1:18" x14ac:dyDescent="0.6">
      <c r="B11" s="10" t="s">
        <v>26</v>
      </c>
      <c r="C11" s="11">
        <f>q/(Tb-Tp)</f>
        <v>16</v>
      </c>
      <c r="N11" s="20"/>
      <c r="O11" s="20"/>
      <c r="P11" s="20"/>
      <c r="Q11" s="20"/>
      <c r="R11" s="20"/>
    </row>
    <row r="12" spans="1:18" x14ac:dyDescent="0.6">
      <c r="B12" s="13" t="s">
        <v>33</v>
      </c>
      <c r="C12" s="14" t="s">
        <v>0</v>
      </c>
    </row>
    <row r="13" spans="1:18" x14ac:dyDescent="0.6">
      <c r="A13" s="3">
        <v>0</v>
      </c>
      <c r="B13" s="12">
        <f>(Ts/60)*A13</f>
        <v>0</v>
      </c>
      <c r="C13" s="8">
        <v>0</v>
      </c>
    </row>
    <row r="14" spans="1:18" x14ac:dyDescent="0.6">
      <c r="A14" s="3">
        <v>1</v>
      </c>
      <c r="B14" s="12">
        <f>(Ts/60)*A14</f>
        <v>8.3333333333333329E-2</v>
      </c>
      <c r="C14" s="8">
        <f t="shared" ref="C14:C45" si="0">IF(B14&lt;=Tp,B14*hydrograph_slope_left,q-(B14-Tp)*hydrograph_slope_right)</f>
        <v>2.2222222222222223</v>
      </c>
    </row>
    <row r="15" spans="1:18" x14ac:dyDescent="0.6">
      <c r="A15" s="3">
        <v>2</v>
      </c>
      <c r="B15" s="12">
        <f>(Ts/60)*A15</f>
        <v>0.16666666666666666</v>
      </c>
      <c r="C15" s="8">
        <f t="shared" si="0"/>
        <v>4.4444444444444446</v>
      </c>
    </row>
    <row r="16" spans="1:18" x14ac:dyDescent="0.6">
      <c r="A16" s="3">
        <v>3</v>
      </c>
      <c r="B16" s="12">
        <f>(Ts/60)*A16</f>
        <v>0.25</v>
      </c>
      <c r="C16" s="8">
        <f t="shared" si="0"/>
        <v>6.666666666666667</v>
      </c>
    </row>
    <row r="17" spans="1:3" x14ac:dyDescent="0.6">
      <c r="A17" s="3">
        <v>4</v>
      </c>
      <c r="B17" s="12">
        <f>(Ts/60)*A17</f>
        <v>0.33333333333333331</v>
      </c>
      <c r="C17" s="8">
        <f t="shared" si="0"/>
        <v>8.8888888888888893</v>
      </c>
    </row>
    <row r="18" spans="1:3" x14ac:dyDescent="0.6">
      <c r="A18" s="3">
        <v>5</v>
      </c>
      <c r="B18" s="12">
        <f>(Ts/60)*A18</f>
        <v>0.41666666666666663</v>
      </c>
      <c r="C18" s="8">
        <f t="shared" si="0"/>
        <v>9.3333333333333339</v>
      </c>
    </row>
    <row r="19" spans="1:3" x14ac:dyDescent="0.6">
      <c r="A19" s="3">
        <v>6</v>
      </c>
      <c r="B19" s="12">
        <f>(Ts/60)*A19</f>
        <v>0.5</v>
      </c>
      <c r="C19" s="8">
        <f t="shared" si="0"/>
        <v>8</v>
      </c>
    </row>
    <row r="20" spans="1:3" x14ac:dyDescent="0.6">
      <c r="A20" s="3">
        <v>7</v>
      </c>
      <c r="B20" s="12">
        <f>(Ts/60)*A20</f>
        <v>0.58333333333333326</v>
      </c>
      <c r="C20" s="8">
        <f t="shared" si="0"/>
        <v>6.6666666666666679</v>
      </c>
    </row>
    <row r="21" spans="1:3" x14ac:dyDescent="0.6">
      <c r="A21" s="3">
        <v>8</v>
      </c>
      <c r="B21" s="12">
        <f>(Ts/60)*A21</f>
        <v>0.66666666666666663</v>
      </c>
      <c r="C21" s="8">
        <f t="shared" si="0"/>
        <v>5.3333333333333339</v>
      </c>
    </row>
    <row r="22" spans="1:3" x14ac:dyDescent="0.6">
      <c r="A22" s="3">
        <v>9</v>
      </c>
      <c r="B22" s="12">
        <f>(Ts/60)*A22</f>
        <v>0.75</v>
      </c>
      <c r="C22" s="8">
        <f t="shared" si="0"/>
        <v>4</v>
      </c>
    </row>
    <row r="23" spans="1:3" x14ac:dyDescent="0.6">
      <c r="A23" s="3">
        <v>10</v>
      </c>
      <c r="B23" s="12">
        <f>(Ts/60)*A23</f>
        <v>0.83333333333333326</v>
      </c>
      <c r="C23" s="8">
        <f t="shared" si="0"/>
        <v>2.6666666666666679</v>
      </c>
    </row>
    <row r="24" spans="1:3" x14ac:dyDescent="0.6">
      <c r="A24" s="3">
        <v>11</v>
      </c>
      <c r="B24" s="12">
        <f>(Ts/60)*A24</f>
        <v>0.91666666666666663</v>
      </c>
      <c r="C24" s="8">
        <f t="shared" si="0"/>
        <v>1.3333333333333339</v>
      </c>
    </row>
    <row r="25" spans="1:3" x14ac:dyDescent="0.6">
      <c r="A25" s="3">
        <v>12</v>
      </c>
      <c r="B25" s="12">
        <f>(Ts/60)*A25</f>
        <v>1</v>
      </c>
      <c r="C25" s="8">
        <f t="shared" si="0"/>
        <v>0</v>
      </c>
    </row>
    <row r="26" spans="1:3" x14ac:dyDescent="0.6">
      <c r="A26" s="3">
        <v>13</v>
      </c>
      <c r="B26" s="12">
        <f>(Ts/60)*A26</f>
        <v>1.0833333333333333</v>
      </c>
      <c r="C26" s="8">
        <f t="shared" si="0"/>
        <v>-1.3333333333333321</v>
      </c>
    </row>
    <row r="27" spans="1:3" x14ac:dyDescent="0.6">
      <c r="A27" s="3">
        <v>14</v>
      </c>
      <c r="B27" s="12">
        <f>(Ts/60)*A27</f>
        <v>1.1666666666666665</v>
      </c>
      <c r="C27" s="8">
        <f t="shared" si="0"/>
        <v>-2.6666666666666643</v>
      </c>
    </row>
    <row r="28" spans="1:3" x14ac:dyDescent="0.6">
      <c r="A28" s="3">
        <v>15</v>
      </c>
      <c r="B28" s="12">
        <f>(Ts/60)*A28</f>
        <v>1.25</v>
      </c>
      <c r="C28" s="8">
        <f t="shared" si="0"/>
        <v>-4</v>
      </c>
    </row>
    <row r="29" spans="1:3" x14ac:dyDescent="0.6">
      <c r="A29" s="3">
        <v>16</v>
      </c>
      <c r="B29" s="12">
        <f>(Ts/60)*A29</f>
        <v>1.3333333333333333</v>
      </c>
      <c r="C29" s="8">
        <f t="shared" si="0"/>
        <v>-5.3333333333333321</v>
      </c>
    </row>
    <row r="30" spans="1:3" x14ac:dyDescent="0.6">
      <c r="A30" s="3">
        <v>17</v>
      </c>
      <c r="B30" s="12">
        <f>(Ts/60)*A30</f>
        <v>1.4166666666666665</v>
      </c>
      <c r="C30" s="8">
        <f t="shared" si="0"/>
        <v>-6.6666666666666643</v>
      </c>
    </row>
    <row r="31" spans="1:3" x14ac:dyDescent="0.6">
      <c r="A31" s="3">
        <v>18</v>
      </c>
      <c r="B31" s="12">
        <f>(Ts/60)*A31</f>
        <v>1.5</v>
      </c>
      <c r="C31" s="8">
        <f t="shared" si="0"/>
        <v>-8</v>
      </c>
    </row>
    <row r="32" spans="1:3" x14ac:dyDescent="0.6">
      <c r="A32" s="3">
        <v>19</v>
      </c>
      <c r="B32" s="12">
        <f>(Ts/60)*A32</f>
        <v>1.5833333333333333</v>
      </c>
      <c r="C32" s="8">
        <f t="shared" si="0"/>
        <v>-9.3333333333333321</v>
      </c>
    </row>
    <row r="33" spans="1:3" x14ac:dyDescent="0.6">
      <c r="A33" s="3">
        <v>20</v>
      </c>
      <c r="B33" s="12">
        <f>(Ts/60)*A33</f>
        <v>1.6666666666666665</v>
      </c>
      <c r="C33" s="8">
        <f t="shared" si="0"/>
        <v>-10.666666666666664</v>
      </c>
    </row>
    <row r="34" spans="1:3" x14ac:dyDescent="0.6">
      <c r="A34" s="3">
        <v>21</v>
      </c>
      <c r="B34" s="12">
        <f>(Ts/60)*A34</f>
        <v>1.75</v>
      </c>
      <c r="C34" s="8">
        <f t="shared" si="0"/>
        <v>-12</v>
      </c>
    </row>
    <row r="35" spans="1:3" x14ac:dyDescent="0.6">
      <c r="A35" s="3">
        <v>22</v>
      </c>
      <c r="B35" s="12">
        <f>(Ts/60)*A35</f>
        <v>1.8333333333333333</v>
      </c>
      <c r="C35" s="8">
        <f t="shared" si="0"/>
        <v>-13.333333333333332</v>
      </c>
    </row>
    <row r="36" spans="1:3" x14ac:dyDescent="0.6">
      <c r="A36" s="3">
        <v>23</v>
      </c>
      <c r="B36" s="12">
        <f>(Ts/60)*A36</f>
        <v>1.9166666666666665</v>
      </c>
      <c r="C36" s="8">
        <f t="shared" si="0"/>
        <v>-14.666666666666664</v>
      </c>
    </row>
    <row r="37" spans="1:3" x14ac:dyDescent="0.6">
      <c r="A37" s="3">
        <v>24</v>
      </c>
      <c r="B37" s="12">
        <f>(Ts/60)*A37</f>
        <v>2</v>
      </c>
      <c r="C37" s="8">
        <f t="shared" si="0"/>
        <v>-16</v>
      </c>
    </row>
    <row r="38" spans="1:3" x14ac:dyDescent="0.6">
      <c r="A38" s="3">
        <v>25</v>
      </c>
      <c r="B38" s="12">
        <f>(Ts/60)*A38</f>
        <v>2.083333333333333</v>
      </c>
      <c r="C38" s="8">
        <f t="shared" si="0"/>
        <v>-17.333333333333329</v>
      </c>
    </row>
    <row r="39" spans="1:3" x14ac:dyDescent="0.6">
      <c r="A39" s="3">
        <v>26</v>
      </c>
      <c r="B39" s="12">
        <f>(Ts/60)*A39</f>
        <v>2.1666666666666665</v>
      </c>
      <c r="C39" s="8">
        <f t="shared" si="0"/>
        <v>-18.666666666666664</v>
      </c>
    </row>
    <row r="40" spans="1:3" x14ac:dyDescent="0.6">
      <c r="A40" s="3">
        <v>27</v>
      </c>
      <c r="B40" s="12">
        <f>(Ts/60)*A40</f>
        <v>2.25</v>
      </c>
      <c r="C40" s="8">
        <f t="shared" si="0"/>
        <v>-20</v>
      </c>
    </row>
    <row r="41" spans="1:3" x14ac:dyDescent="0.6">
      <c r="A41" s="3">
        <v>28</v>
      </c>
      <c r="B41" s="12">
        <f>(Ts/60)*A41</f>
        <v>2.333333333333333</v>
      </c>
      <c r="C41" s="8">
        <f t="shared" si="0"/>
        <v>-21.333333333333329</v>
      </c>
    </row>
    <row r="42" spans="1:3" x14ac:dyDescent="0.6">
      <c r="A42" s="3">
        <v>29</v>
      </c>
      <c r="B42" s="12">
        <f>(Ts/60)*A42</f>
        <v>2.4166666666666665</v>
      </c>
      <c r="C42" s="8">
        <f t="shared" si="0"/>
        <v>-22.666666666666664</v>
      </c>
    </row>
    <row r="43" spans="1:3" x14ac:dyDescent="0.6">
      <c r="A43" s="3">
        <v>30</v>
      </c>
      <c r="B43" s="12">
        <f>(Ts/60)*A43</f>
        <v>2.5</v>
      </c>
      <c r="C43" s="8">
        <f t="shared" si="0"/>
        <v>-24</v>
      </c>
    </row>
    <row r="44" spans="1:3" x14ac:dyDescent="0.6">
      <c r="A44" s="3">
        <v>31</v>
      </c>
      <c r="B44" s="12">
        <f>(Ts/60)*A44</f>
        <v>2.583333333333333</v>
      </c>
      <c r="C44" s="8">
        <f t="shared" si="0"/>
        <v>-25.333333333333329</v>
      </c>
    </row>
    <row r="45" spans="1:3" x14ac:dyDescent="0.6">
      <c r="A45" s="3">
        <v>32</v>
      </c>
      <c r="B45" s="12">
        <f>(Ts/60)*A45</f>
        <v>2.6666666666666665</v>
      </c>
      <c r="C45" s="9">
        <f t="shared" si="0"/>
        <v>-26.666666666666664</v>
      </c>
    </row>
  </sheetData>
  <mergeCells count="1">
    <mergeCell ref="N2:R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EE3D0-994B-4C89-94A4-6A2E1381708C}">
  <dimension ref="A2:G45"/>
  <sheetViews>
    <sheetView showGridLines="0" tabSelected="1" zoomScale="115" zoomScaleNormal="115" workbookViewId="0">
      <pane ySplit="12" topLeftCell="A13" activePane="bottomLeft" state="frozenSplit"/>
      <selection pane="bottomLeft" activeCell="B18" sqref="B18"/>
    </sheetView>
  </sheetViews>
  <sheetFormatPr defaultColWidth="9.1328125" defaultRowHeight="16.5" x14ac:dyDescent="0.6"/>
  <cols>
    <col min="1" max="1" width="2.53125" style="1" customWidth="1"/>
    <col min="2" max="2" width="30.86328125" style="1" customWidth="1"/>
    <col min="3" max="3" width="16.46484375" style="1" customWidth="1"/>
    <col min="4" max="4" width="2.53125" style="1" customWidth="1"/>
    <col min="5" max="5" width="7.46484375" style="16" customWidth="1"/>
    <col min="6" max="6" width="9.1328125" style="16"/>
    <col min="7" max="7" width="4.53125" style="16" customWidth="1"/>
    <col min="8" max="16384" width="9.1328125" style="1"/>
  </cols>
  <sheetData>
    <row r="2" spans="1:7" x14ac:dyDescent="0.6">
      <c r="B2" s="1" t="s">
        <v>32</v>
      </c>
    </row>
    <row r="3" spans="1:7" x14ac:dyDescent="0.6">
      <c r="B3" s="5" t="s">
        <v>27</v>
      </c>
      <c r="C3" s="6" t="s">
        <v>28</v>
      </c>
    </row>
    <row r="4" spans="1:7" x14ac:dyDescent="0.6">
      <c r="B4" s="4" t="s">
        <v>0</v>
      </c>
      <c r="C4" s="7">
        <f>q</f>
        <v>10</v>
      </c>
    </row>
    <row r="5" spans="1:7" x14ac:dyDescent="0.6">
      <c r="B5" s="4" t="s">
        <v>29</v>
      </c>
      <c r="C5" s="7">
        <v>1</v>
      </c>
    </row>
    <row r="6" spans="1:7" x14ac:dyDescent="0.6">
      <c r="A6" s="15"/>
      <c r="B6" s="4" t="s">
        <v>30</v>
      </c>
      <c r="C6" s="7">
        <v>5</v>
      </c>
      <c r="E6" s="17">
        <f>(C5/32)*60</f>
        <v>1.875</v>
      </c>
    </row>
    <row r="7" spans="1:7" x14ac:dyDescent="0.6">
      <c r="B7" s="4" t="s">
        <v>31</v>
      </c>
      <c r="C7" s="7">
        <v>37.5</v>
      </c>
      <c r="E7" s="17">
        <f>Tb*Tpp/100</f>
        <v>0.375</v>
      </c>
    </row>
    <row r="8" spans="1:7" x14ac:dyDescent="0.6">
      <c r="B8" s="4" t="s">
        <v>24</v>
      </c>
      <c r="C8" s="8">
        <f>Tb*(Tpp/100)</f>
        <v>0.375</v>
      </c>
      <c r="E8" s="16" t="s">
        <v>34</v>
      </c>
      <c r="F8" s="16" t="s">
        <v>35</v>
      </c>
    </row>
    <row r="9" spans="1:7" x14ac:dyDescent="0.6">
      <c r="B9" s="4" t="s">
        <v>23</v>
      </c>
      <c r="C9" s="8">
        <f>Tb/(Ts/60)</f>
        <v>12</v>
      </c>
      <c r="E9" s="16">
        <f>ROUND(Steps*Tpp/100,0)</f>
        <v>5</v>
      </c>
      <c r="F9" s="16">
        <f>Steps-steps_left</f>
        <v>7</v>
      </c>
    </row>
    <row r="10" spans="1:7" x14ac:dyDescent="0.6">
      <c r="B10" s="4" t="s">
        <v>25</v>
      </c>
      <c r="C10" s="8">
        <f>q/Tp</f>
        <v>26.666666666666668</v>
      </c>
      <c r="E10" s="16">
        <f>(Tb*Tpp/100)/steps_left</f>
        <v>7.4999999999999997E-2</v>
      </c>
      <c r="F10" s="16">
        <f>(Tb*(1-Tpp/100))/steps_right</f>
        <v>8.9285714285714288E-2</v>
      </c>
    </row>
    <row r="11" spans="1:7" x14ac:dyDescent="0.6">
      <c r="B11" s="10" t="s">
        <v>26</v>
      </c>
      <c r="C11" s="11">
        <f>q/(Tb-Tp)</f>
        <v>16</v>
      </c>
      <c r="E11" s="16">
        <f>E9*E10</f>
        <v>0.375</v>
      </c>
      <c r="F11" s="16">
        <f>F9*F10</f>
        <v>0.625</v>
      </c>
      <c r="G11" s="16">
        <f>+F11+E11</f>
        <v>1</v>
      </c>
    </row>
    <row r="12" spans="1:7" x14ac:dyDescent="0.6">
      <c r="B12" s="13" t="s">
        <v>33</v>
      </c>
      <c r="C12" s="14" t="s">
        <v>0</v>
      </c>
    </row>
    <row r="13" spans="1:7" x14ac:dyDescent="0.6">
      <c r="A13" s="3">
        <v>0</v>
      </c>
      <c r="B13" s="12">
        <v>0</v>
      </c>
      <c r="C13" s="8">
        <v>0</v>
      </c>
    </row>
    <row r="14" spans="1:7" x14ac:dyDescent="0.6">
      <c r="A14" s="3">
        <v>1</v>
      </c>
      <c r="B14" s="12">
        <f>IF(A14&lt;=steps_left,B13+time_increment_left,B13+time_increment_right)</f>
        <v>7.4999999999999997E-2</v>
      </c>
      <c r="C14" s="8">
        <f t="shared" ref="C14:C45" si="0">IF(B14&lt;=Tp,B14*hydrograph_slope_left,q-(B14-Tp)*hydrograph_slope_right)</f>
        <v>2</v>
      </c>
    </row>
    <row r="15" spans="1:7" x14ac:dyDescent="0.6">
      <c r="A15" s="3">
        <v>2</v>
      </c>
      <c r="B15" s="12">
        <f>IF(A15&lt;=steps_left,B14+time_increment_left,B14+time_increment_right)</f>
        <v>0.15</v>
      </c>
      <c r="C15" s="8">
        <f t="shared" si="0"/>
        <v>4</v>
      </c>
    </row>
    <row r="16" spans="1:7" x14ac:dyDescent="0.6">
      <c r="A16" s="3">
        <v>3</v>
      </c>
      <c r="B16" s="12">
        <f>IF(A16&lt;=steps_left,B15+time_increment_left,B15+time_increment_right)</f>
        <v>0.22499999999999998</v>
      </c>
      <c r="C16" s="18">
        <f t="shared" si="0"/>
        <v>6</v>
      </c>
    </row>
    <row r="17" spans="1:3" x14ac:dyDescent="0.6">
      <c r="A17" s="3">
        <v>4</v>
      </c>
      <c r="B17" s="12">
        <f>IF(A17&lt;=steps_left,B16+time_increment_left,B16+time_increment_right)</f>
        <v>0.3</v>
      </c>
      <c r="C17" s="18">
        <f t="shared" si="0"/>
        <v>8</v>
      </c>
    </row>
    <row r="18" spans="1:3" x14ac:dyDescent="0.6">
      <c r="A18" s="3">
        <v>5</v>
      </c>
      <c r="B18" s="12">
        <f>IF(A18&lt;=steps_left,B17+time_increment_left,B17+time_increment_right)</f>
        <v>0.375</v>
      </c>
      <c r="C18" s="18">
        <f t="shared" si="0"/>
        <v>10</v>
      </c>
    </row>
    <row r="19" spans="1:3" x14ac:dyDescent="0.6">
      <c r="A19" s="3">
        <v>6</v>
      </c>
      <c r="B19" s="12">
        <f>IF(A19&lt;=steps_left,B18+time_increment_left,B18+time_increment_right)</f>
        <v>0.4642857142857143</v>
      </c>
      <c r="C19" s="18">
        <f t="shared" si="0"/>
        <v>8.5714285714285712</v>
      </c>
    </row>
    <row r="20" spans="1:3" x14ac:dyDescent="0.6">
      <c r="A20" s="3">
        <v>7</v>
      </c>
      <c r="B20" s="12">
        <f>IF(A20&lt;=steps_left,B19+time_increment_left,B19+time_increment_right)</f>
        <v>0.5535714285714286</v>
      </c>
      <c r="C20" s="18">
        <f t="shared" si="0"/>
        <v>7.1428571428571423</v>
      </c>
    </row>
    <row r="21" spans="1:3" x14ac:dyDescent="0.6">
      <c r="A21" s="3">
        <v>8</v>
      </c>
      <c r="B21" s="12">
        <f>IF(A21&lt;=steps_left,B20+time_increment_left,B20+time_increment_right)</f>
        <v>0.6428571428571429</v>
      </c>
      <c r="C21" s="18">
        <f t="shared" si="0"/>
        <v>5.7142857142857135</v>
      </c>
    </row>
    <row r="22" spans="1:3" x14ac:dyDescent="0.6">
      <c r="A22" s="3">
        <v>9</v>
      </c>
      <c r="B22" s="12">
        <f>IF(A22&lt;=steps_left,B21+time_increment_left,B21+time_increment_right)</f>
        <v>0.73214285714285721</v>
      </c>
      <c r="C22" s="18">
        <f t="shared" si="0"/>
        <v>4.2857142857142847</v>
      </c>
    </row>
    <row r="23" spans="1:3" x14ac:dyDescent="0.6">
      <c r="A23" s="3">
        <v>10</v>
      </c>
      <c r="B23" s="12">
        <f>IF(A23&lt;=steps_left,B22+time_increment_left,B22+time_increment_right)</f>
        <v>0.82142857142857151</v>
      </c>
      <c r="C23" s="18">
        <f t="shared" si="0"/>
        <v>2.8571428571428559</v>
      </c>
    </row>
    <row r="24" spans="1:3" x14ac:dyDescent="0.6">
      <c r="A24" s="3">
        <v>11</v>
      </c>
      <c r="B24" s="12">
        <f>IF(A24&lt;=steps_left,B23+time_increment_left,B23+time_increment_right)</f>
        <v>0.91071428571428581</v>
      </c>
      <c r="C24" s="18">
        <f t="shared" si="0"/>
        <v>1.428571428571427</v>
      </c>
    </row>
    <row r="25" spans="1:3" x14ac:dyDescent="0.6">
      <c r="A25" s="3">
        <v>12</v>
      </c>
      <c r="B25" s="12">
        <f>IF(A25&lt;=steps_left,B24+time_increment_left,B24+time_increment_right)</f>
        <v>1</v>
      </c>
      <c r="C25" s="18">
        <f t="shared" si="0"/>
        <v>0</v>
      </c>
    </row>
    <row r="26" spans="1:3" x14ac:dyDescent="0.6">
      <c r="A26" s="3">
        <v>13</v>
      </c>
      <c r="B26" s="12">
        <f>IF(A26&lt;=steps_left,B25+time_increment_left,B25+time_increment_right)</f>
        <v>1.0892857142857142</v>
      </c>
      <c r="C26" s="18">
        <f t="shared" si="0"/>
        <v>-1.428571428571427</v>
      </c>
    </row>
    <row r="27" spans="1:3" x14ac:dyDescent="0.6">
      <c r="A27" s="3">
        <v>14</v>
      </c>
      <c r="B27" s="12">
        <f>IF(A27&lt;=steps_left,B26+time_increment_left,B26+time_increment_right)</f>
        <v>1.1785714285714284</v>
      </c>
      <c r="C27" s="18">
        <f t="shared" si="0"/>
        <v>-2.8571428571428541</v>
      </c>
    </row>
    <row r="28" spans="1:3" x14ac:dyDescent="0.6">
      <c r="A28" s="3">
        <v>15</v>
      </c>
      <c r="B28" s="12">
        <f>IF(A28&lt;=steps_left,B27+time_increment_left,B27+time_increment_right)</f>
        <v>1.2678571428571426</v>
      </c>
      <c r="C28" s="18">
        <f t="shared" si="0"/>
        <v>-4.2857142857142811</v>
      </c>
    </row>
    <row r="29" spans="1:3" x14ac:dyDescent="0.6">
      <c r="A29" s="3">
        <v>16</v>
      </c>
      <c r="B29" s="12">
        <f>IF(A29&lt;=steps_left,B28+time_increment_left,B28+time_increment_right)</f>
        <v>1.3571428571428568</v>
      </c>
      <c r="C29" s="18">
        <f t="shared" si="0"/>
        <v>-5.7142857142857082</v>
      </c>
    </row>
    <row r="30" spans="1:3" x14ac:dyDescent="0.6">
      <c r="A30" s="3">
        <v>17</v>
      </c>
      <c r="B30" s="12">
        <f>IF(A30&lt;=steps_left,B29+time_increment_left,B29+time_increment_right)</f>
        <v>1.446428571428571</v>
      </c>
      <c r="C30" s="18">
        <f t="shared" si="0"/>
        <v>-7.1428571428571352</v>
      </c>
    </row>
    <row r="31" spans="1:3" x14ac:dyDescent="0.6">
      <c r="A31" s="3">
        <v>18</v>
      </c>
      <c r="B31" s="12">
        <f>IF(A31&lt;=steps_left,B30+time_increment_left,B30+time_increment_right)</f>
        <v>1.5357142857142851</v>
      </c>
      <c r="C31" s="18">
        <f t="shared" si="0"/>
        <v>-8.5714285714285623</v>
      </c>
    </row>
    <row r="32" spans="1:3" x14ac:dyDescent="0.6">
      <c r="A32" s="3">
        <v>19</v>
      </c>
      <c r="B32" s="12">
        <f>IF(A32&lt;=steps_left,B31+time_increment_left,B31+time_increment_right)</f>
        <v>1.6249999999999993</v>
      </c>
      <c r="C32" s="18">
        <f t="shared" si="0"/>
        <v>-9.9999999999999893</v>
      </c>
    </row>
    <row r="33" spans="1:3" x14ac:dyDescent="0.6">
      <c r="A33" s="3">
        <v>20</v>
      </c>
      <c r="B33" s="12">
        <f>IF(A33&lt;=steps_left,B32+time_increment_left,B32+time_increment_right)</f>
        <v>1.7142857142857135</v>
      </c>
      <c r="C33" s="18">
        <f t="shared" si="0"/>
        <v>-11.428571428571416</v>
      </c>
    </row>
    <row r="34" spans="1:3" x14ac:dyDescent="0.6">
      <c r="A34" s="3">
        <v>21</v>
      </c>
      <c r="B34" s="12">
        <f>IF(A34&lt;=steps_left,B33+time_increment_left,B33+time_increment_right)</f>
        <v>1.8035714285714277</v>
      </c>
      <c r="C34" s="18">
        <f t="shared" si="0"/>
        <v>-12.857142857142843</v>
      </c>
    </row>
    <row r="35" spans="1:3" x14ac:dyDescent="0.6">
      <c r="A35" s="3">
        <v>22</v>
      </c>
      <c r="B35" s="12">
        <f>IF(A35&lt;=steps_left,B34+time_increment_left,B34+time_increment_right)</f>
        <v>1.8928571428571419</v>
      </c>
      <c r="C35" s="18">
        <f t="shared" si="0"/>
        <v>-14.28571428571427</v>
      </c>
    </row>
    <row r="36" spans="1:3" x14ac:dyDescent="0.6">
      <c r="A36" s="3">
        <v>23</v>
      </c>
      <c r="B36" s="12">
        <f>IF(A36&lt;=steps_left,B35+time_increment_left,B35+time_increment_right)</f>
        <v>1.9821428571428561</v>
      </c>
      <c r="C36" s="18">
        <f t="shared" si="0"/>
        <v>-15.714285714285698</v>
      </c>
    </row>
    <row r="37" spans="1:3" x14ac:dyDescent="0.6">
      <c r="A37" s="3">
        <v>24</v>
      </c>
      <c r="B37" s="12">
        <f>IF(A37&lt;=steps_left,B36+time_increment_left,B36+time_increment_right)</f>
        <v>2.0714285714285703</v>
      </c>
      <c r="C37" s="18">
        <f t="shared" si="0"/>
        <v>-17.142857142857125</v>
      </c>
    </row>
    <row r="38" spans="1:3" x14ac:dyDescent="0.6">
      <c r="A38" s="3">
        <v>25</v>
      </c>
      <c r="B38" s="12">
        <f>IF(A38&lt;=steps_left,B37+time_increment_left,B37+time_increment_right)</f>
        <v>2.1607142857142847</v>
      </c>
      <c r="C38" s="18">
        <f t="shared" si="0"/>
        <v>-18.571428571428555</v>
      </c>
    </row>
    <row r="39" spans="1:3" x14ac:dyDescent="0.6">
      <c r="A39" s="3">
        <v>26</v>
      </c>
      <c r="B39" s="12">
        <f>IF(A39&lt;=steps_left,B38+time_increment_left,B38+time_increment_right)</f>
        <v>2.2499999999999991</v>
      </c>
      <c r="C39" s="18">
        <f t="shared" si="0"/>
        <v>-19.999999999999986</v>
      </c>
    </row>
    <row r="40" spans="1:3" x14ac:dyDescent="0.6">
      <c r="A40" s="3">
        <v>27</v>
      </c>
      <c r="B40" s="12">
        <f>IF(A40&lt;=steps_left,B39+time_increment_left,B39+time_increment_right)</f>
        <v>2.3392857142857135</v>
      </c>
      <c r="C40" s="18">
        <f t="shared" si="0"/>
        <v>-21.428571428571416</v>
      </c>
    </row>
    <row r="41" spans="1:3" x14ac:dyDescent="0.6">
      <c r="A41" s="3">
        <v>28</v>
      </c>
      <c r="B41" s="12">
        <f>IF(A41&lt;=steps_left,B40+time_increment_left,B40+time_increment_right)</f>
        <v>2.4285714285714279</v>
      </c>
      <c r="C41" s="18">
        <f t="shared" si="0"/>
        <v>-22.857142857142847</v>
      </c>
    </row>
    <row r="42" spans="1:3" x14ac:dyDescent="0.6">
      <c r="A42" s="3">
        <v>29</v>
      </c>
      <c r="B42" s="12">
        <f>IF(A42&lt;=steps_left,B41+time_increment_left,B41+time_increment_right)</f>
        <v>2.5178571428571423</v>
      </c>
      <c r="C42" s="18">
        <f t="shared" si="0"/>
        <v>-24.285714285714278</v>
      </c>
    </row>
    <row r="43" spans="1:3" x14ac:dyDescent="0.6">
      <c r="A43" s="3">
        <v>30</v>
      </c>
      <c r="B43" s="12">
        <f>IF(A43&lt;=steps_left,B42+time_increment_left,B42+time_increment_right)</f>
        <v>2.6071428571428568</v>
      </c>
      <c r="C43" s="18">
        <f t="shared" si="0"/>
        <v>-25.714285714285708</v>
      </c>
    </row>
    <row r="44" spans="1:3" x14ac:dyDescent="0.6">
      <c r="A44" s="3">
        <v>31</v>
      </c>
      <c r="B44" s="12">
        <f>IF(A44&lt;=steps_left,B43+time_increment_left,B43+time_increment_right)</f>
        <v>2.6964285714285712</v>
      </c>
      <c r="C44" s="18">
        <f t="shared" si="0"/>
        <v>-27.142857142857139</v>
      </c>
    </row>
    <row r="45" spans="1:3" x14ac:dyDescent="0.6">
      <c r="A45" s="3">
        <v>32</v>
      </c>
      <c r="B45" s="12">
        <f>IF(A45&lt;=steps_left,B44+time_increment_left,B44+time_increment_right)</f>
        <v>2.7857142857142856</v>
      </c>
      <c r="C45" s="19">
        <f t="shared" si="0"/>
        <v>-28.571428571428569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34</vt:i4>
      </vt:variant>
    </vt:vector>
  </HeadingPairs>
  <TitlesOfParts>
    <vt:vector size="38" baseType="lpstr">
      <vt:lpstr>Eq</vt:lpstr>
      <vt:lpstr>YnYc</vt:lpstr>
      <vt:lpstr>UHv1</vt:lpstr>
      <vt:lpstr>UHv2</vt:lpstr>
      <vt:lpstr>alpha</vt:lpstr>
      <vt:lpstr>area</vt:lpstr>
      <vt:lpstr>b</vt:lpstr>
      <vt:lpstr>c_</vt:lpstr>
      <vt:lpstr>g</vt:lpstr>
      <vt:lpstr>hydraulic_depth</vt:lpstr>
      <vt:lpstr>hydraulic_ratio</vt:lpstr>
      <vt:lpstr>'UHv2'!hydrograph_slope_left</vt:lpstr>
      <vt:lpstr>hydrograph_slope_left</vt:lpstr>
      <vt:lpstr>'UHv2'!hydrograph_slope_right</vt:lpstr>
      <vt:lpstr>hydrograph_slope_right</vt:lpstr>
      <vt:lpstr>n</vt:lpstr>
      <vt:lpstr>q</vt:lpstr>
      <vt:lpstr>rho</vt:lpstr>
      <vt:lpstr>so</vt:lpstr>
      <vt:lpstr>'UHv2'!Steps</vt:lpstr>
      <vt:lpstr>Steps</vt:lpstr>
      <vt:lpstr>steps_left</vt:lpstr>
      <vt:lpstr>steps_right</vt:lpstr>
      <vt:lpstr>'UHv2'!Tb</vt:lpstr>
      <vt:lpstr>Tb</vt:lpstr>
      <vt:lpstr>time_increment_left</vt:lpstr>
      <vt:lpstr>time_increment_right</vt:lpstr>
      <vt:lpstr>top_width</vt:lpstr>
      <vt:lpstr>'UHv2'!Tp</vt:lpstr>
      <vt:lpstr>Tp</vt:lpstr>
      <vt:lpstr>'UHv2'!Tpp</vt:lpstr>
      <vt:lpstr>Tpp</vt:lpstr>
      <vt:lpstr>'UHv2'!Ts</vt:lpstr>
      <vt:lpstr>Ts</vt:lpstr>
      <vt:lpstr>wet_perimeter</vt:lpstr>
      <vt:lpstr>y</vt:lpstr>
      <vt:lpstr>z1_</vt:lpstr>
      <vt:lpstr>z2_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2025-12-03T18:16:53Z</dcterms:created>
  <dcterms:modified xsi:type="dcterms:W3CDTF">2025-12-11T14:46:09Z</dcterms:modified>
</cp:coreProperties>
</file>